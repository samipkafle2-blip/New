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Budget &amp; Saving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<sst xmlns="http://schemas.openxmlformats.org/spreadsheetml/2006/main" count="34" uniqueCount="31">
  <si>
    <t>Income (Before vs After Tax)</t>
  </si>
  <si>
    <t>Source</t>
  </si>
  <si>
    <t>Before Tax</t>
  </si>
  <si>
    <t>After Tax</t>
  </si>
  <si>
    <t>Total After-Tax Income</t>
  </si>
  <si>
    <t>Copywriting</t>
  </si>
  <si>
    <t>Total Expenses</t>
  </si>
  <si>
    <t>IT Service</t>
  </si>
  <si>
    <t>Total Savings</t>
  </si>
  <si>
    <t>Real Estate(RENT+FLIPPING)</t>
  </si>
  <si>
    <t>CRNA</t>
  </si>
  <si>
    <t>Total</t>
  </si>
  <si>
    <t>What are my expenses?</t>
  </si>
  <si>
    <t>Where do I want to put my savings?</t>
  </si>
  <si>
    <t>Car (BMW M8 COMPETITION GRAND COUPE)</t>
  </si>
  <si>
    <t>Stock</t>
  </si>
  <si>
    <t>Car (Range Rover Sport SV)</t>
  </si>
  <si>
    <t>Crypto</t>
  </si>
  <si>
    <t>Car (Porsche 911 GT3 RS)</t>
  </si>
  <si>
    <t>Funds</t>
  </si>
  <si>
    <t>Car (Rolls-Royce Black Badge Cullinan)</t>
  </si>
  <si>
    <t>401(k)</t>
  </si>
  <si>
    <t>Food/dinner</t>
  </si>
  <si>
    <t>IRA</t>
  </si>
  <si>
    <t>Home Mortgage</t>
  </si>
  <si>
    <t>Home Money</t>
  </si>
  <si>
    <t>Utilities and others</t>
  </si>
  <si>
    <t>Groceries</t>
  </si>
  <si>
    <t>Clothing and Shopping</t>
  </si>
  <si>
    <t>Outing and Entertainment, Trips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</si>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</sst>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$&quot;#,##0.00"/>
  </numFmts>
  <fonts count="22">
    <font>
      <sz val="11"/>
      <color theme="1"/>
      <name val="Calibri"/>
      <charset val="134"/>
      <scheme val="minor"/>
    </font>
    <font>
      <b/>
      <sz val="12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BDD7EE"/>
        <bgColor rgb="FFBDD7E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178" fontId="0" fillId="0" borderId="0" xfId="0" applyNumberFormat="1"/>
    <xf numFmtId="0" fontId="1" fillId="3" borderId="0" xfId="0" applyFont="1" applyFill="1" applyAlignment="1">
      <alignment horizontal="center"/>
    </xf>
    <xf numFmtId="9" fontId="0" fillId="0" borderId="0" xfId="0" applyNumberFormat="1" applyFont="1" applyFill="1" applyBorder="1" applyAlignment="1" applyProtection="1"/>
    <xf numFmtId="1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After-Tax Income Breakdown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noFill/>
              <a:prstDash val="solid"/>
            </a:ln>
          </c:spPr>
          <c:explosion val="0"/>
          <c:dPt>
            <c:idx val="0"/>
            <c:bubble3D val="0"/>
            <c:spPr>
              <a:ln>
                <a:noFill/>
                <a:prstDash val="solid"/>
              </a:ln>
            </c:spPr>
          </c:dPt>
          <c:dPt>
            <c:idx val="1"/>
            <c:bubble3D val="0"/>
            <c:spPr>
              <a:ln>
                <a:noFill/>
                <a:prstDash val="solid"/>
              </a:ln>
            </c:spPr>
          </c:dPt>
          <c:dPt>
            <c:idx val="2"/>
            <c:bubble3D val="0"/>
            <c:spPr>
              <a:ln>
                <a:noFill/>
                <a:prstDash val="solid"/>
              </a:ln>
            </c:spPr>
          </c:dPt>
          <c:dPt>
            <c:idx val="3"/>
            <c:bubble3D val="0"/>
            <c:spPr>
              <a:ln>
                <a:noFill/>
                <a:prstDash val="solid"/>
              </a:ln>
            </c:spPr>
          </c:dPt>
          <c:dLbls>
            <c:delete val="1"/>
          </c:dLbls>
          <c:cat>
            <c:strRef>
              <c:f>'Budget &amp; Savings'!$B$5:$B$8</c:f>
              <c:strCache>
                <c:ptCount val="4"/>
                <c:pt idx="0">
                  <c:v>Copywriting</c:v>
                </c:pt>
                <c:pt idx="1">
                  <c:v>IT Service</c:v>
                </c:pt>
                <c:pt idx="2">
                  <c:v>Real Estate(RENT+FLIPPING)</c:v>
                </c:pt>
                <c:pt idx="3">
                  <c:v>CRNA</c:v>
                </c:pt>
              </c:strCache>
            </c:strRef>
          </c:cat>
          <c:val>
            <c:numRef>
              <c:f>'Budget &amp; Savings'!$D$5:$D$8</c:f>
              <c:numCache>
                <c:formatCode>"$"#,##0.00</c:formatCode>
                <c:ptCount val="4"/>
                <c:pt idx="0">
                  <c:v>100000</c:v>
                </c:pt>
                <c:pt idx="1">
                  <c:v>144000</c:v>
                </c:pt>
                <c:pt idx="2">
                  <c:v>450000</c:v>
                </c:pt>
                <c:pt idx="3">
                  <c:v>56000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4fa299b-40c1-49d0-96a7-298c34ab6664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Savings Allocation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noFill/>
              <a:prstDash val="solid"/>
            </a:ln>
          </c:spPr>
          <c:explosion val="0"/>
          <c:dPt>
            <c:idx val="0"/>
            <c:bubble3D val="0"/>
            <c:spPr>
              <a:ln>
                <a:noFill/>
                <a:prstDash val="solid"/>
              </a:ln>
            </c:spPr>
          </c:dPt>
          <c:dPt>
            <c:idx val="1"/>
            <c:bubble3D val="0"/>
            <c:spPr>
              <a:ln>
                <a:noFill/>
                <a:prstDash val="solid"/>
              </a:ln>
            </c:spPr>
          </c:dPt>
          <c:dPt>
            <c:idx val="2"/>
            <c:bubble3D val="0"/>
            <c:spPr>
              <a:ln>
                <a:noFill/>
                <a:prstDash val="solid"/>
              </a:ln>
            </c:spPr>
          </c:dPt>
          <c:dPt>
            <c:idx val="3"/>
            <c:bubble3D val="0"/>
            <c:spPr>
              <a:ln>
                <a:noFill/>
                <a:prstDash val="solid"/>
              </a:ln>
            </c:spPr>
          </c:dPt>
          <c:dPt>
            <c:idx val="4"/>
            <c:bubble3D val="0"/>
            <c:spPr>
              <a:ln>
                <a:noFill/>
                <a:prstDash val="solid"/>
              </a:ln>
            </c:spPr>
          </c:dPt>
          <c:dPt>
            <c:idx val="5"/>
            <c:bubble3D val="0"/>
            <c:spPr>
              <a:ln>
                <a:noFill/>
                <a:prstDash val="solid"/>
              </a:ln>
            </c:spPr>
          </c:dPt>
          <c:dLbls>
            <c:delete val="1"/>
          </c:dLbls>
          <c:cat>
            <c:strRef>
              <c:f>'Budget &amp; Savings'!$E$13:$E$18</c:f>
              <c:strCache>
                <c:ptCount val="6"/>
                <c:pt idx="0">
                  <c:v>Stock</c:v>
                </c:pt>
                <c:pt idx="1">
                  <c:v>Crypto</c:v>
                </c:pt>
                <c:pt idx="2">
                  <c:v>Funds</c:v>
                </c:pt>
                <c:pt idx="3">
                  <c:v>401(k)</c:v>
                </c:pt>
                <c:pt idx="4">
                  <c:v>IRA</c:v>
                </c:pt>
                <c:pt idx="5">
                  <c:v>Home Money</c:v>
                </c:pt>
              </c:strCache>
            </c:strRef>
          </c:cat>
          <c:val>
            <c:numRef>
              <c:f>'Budget &amp; Savings'!$G$13:$G$18</c:f>
              <c:numCache>
                <c:formatCode>"$"#,##0.00</c:formatCode>
                <c:ptCount val="6"/>
                <c:pt idx="0">
                  <c:v>326374</c:v>
                </c:pt>
                <c:pt idx="1">
                  <c:v>190898</c:v>
                </c:pt>
                <c:pt idx="2">
                  <c:v>61580</c:v>
                </c:pt>
                <c:pt idx="3">
                  <c:v>6773.8</c:v>
                </c:pt>
                <c:pt idx="4">
                  <c:v>3079</c:v>
                </c:pt>
                <c:pt idx="5">
                  <c:v>27095.2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a75a126-030f-43f7-9637-1c327abbca35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228600</xdr:colOff>
      <xdr:row>0</xdr:row>
      <xdr:rowOff>76200</xdr:rowOff>
    </xdr:from>
    <xdr:ext cx="5400000" cy="2608560"/>
    <xdr:graphicFrame>
      <xdr:nvGraphicFramePr>
        <xdr:cNvPr id="2" name="Chart 1"/>
        <xdr:cNvGraphicFramePr/>
      </xdr:nvGraphicFramePr>
      <xdr:xfrm>
        <a:off x="8496300" y="76200"/>
        <a:ext cx="5399405" cy="26079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358140</xdr:colOff>
      <xdr:row>15</xdr:row>
      <xdr:rowOff>22860</xdr:rowOff>
    </xdr:from>
    <xdr:ext cx="5109845" cy="2417445"/>
    <xdr:graphicFrame>
      <xdr:nvGraphicFramePr>
        <xdr:cNvPr id="3" name="Chart 2"/>
        <xdr:cNvGraphicFramePr/>
      </xdr:nvGraphicFramePr>
      <xdr:xfrm>
        <a:off x="8625840" y="2796540"/>
        <a:ext cx="5109845" cy="24174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23"/>
  <sheetViews>
    <sheetView tabSelected="1" zoomScale="99" zoomScaleNormal="99" workbookViewId="0">
      <selection activeCell="B28" sqref="B28"/>
    </sheetView>
  </sheetViews>
  <sheetFormatPr defaultColWidth="9" defaultRowHeight="14.4" outlineLevelCol="6"/>
  <cols>
    <col min="2" max="2" width="42.1111111111111" customWidth="1"/>
    <col min="3" max="4" width="11.8888888888889"/>
    <col min="5" max="5" width="21.8888888888889" customWidth="1"/>
    <col min="6" max="7" width="11.8888888888889"/>
  </cols>
  <sheetData>
    <row r="2" ht="15.6" spans="2:2">
      <c r="B2" s="1" t="s">
        <v>0</v>
      </c>
    </row>
    <row r="4" spans="2:6">
      <c r="B4" s="2" t="s">
        <v>1</v>
      </c>
      <c r="C4" s="2" t="s">
        <v>2</v>
      </c>
      <c r="D4" s="2" t="s">
        <v>3</v>
      </c>
      <c r="E4" t="s">
        <v>4</v>
      </c>
      <c r="F4" s="3">
        <f>D9</f>
        <v>750000</v>
      </c>
    </row>
    <row r="5" spans="2:6">
      <c r="B5" t="s">
        <v>5</v>
      </c>
      <c r="C5" s="3">
        <v>120000</v>
      </c>
      <c r="D5" s="3">
        <v>100000</v>
      </c>
      <c r="E5" t="s">
        <v>6</v>
      </c>
      <c r="F5" s="3">
        <f>C23</f>
        <v>134200</v>
      </c>
    </row>
    <row r="6" spans="2:6">
      <c r="B6" t="s">
        <v>7</v>
      </c>
      <c r="C6" s="3">
        <v>170000</v>
      </c>
      <c r="D6" s="3">
        <v>144000</v>
      </c>
      <c r="E6" t="s">
        <v>8</v>
      </c>
      <c r="F6" s="3">
        <f>F4-F5</f>
        <v>615800</v>
      </c>
    </row>
    <row r="7" spans="2:4">
      <c r="B7" t="s">
        <v>9</v>
      </c>
      <c r="C7" s="3">
        <v>450000</v>
      </c>
      <c r="D7" s="3">
        <v>450000</v>
      </c>
    </row>
    <row r="8" spans="2:4">
      <c r="B8" t="s">
        <v>10</v>
      </c>
      <c r="C8" s="3">
        <v>70000</v>
      </c>
      <c r="D8" s="3">
        <v>56000</v>
      </c>
    </row>
    <row r="9" spans="2:4">
      <c r="B9" s="2" t="s">
        <v>11</v>
      </c>
      <c r="C9" s="3">
        <f>SUM(C5:C8)</f>
        <v>810000</v>
      </c>
      <c r="D9" s="3">
        <f>SUM(D5:D8)</f>
        <v>750000</v>
      </c>
    </row>
    <row r="11" ht="15.6" spans="2:5">
      <c r="B11" s="4" t="s">
        <v>12</v>
      </c>
      <c r="E11" s="1" t="s">
        <v>13</v>
      </c>
    </row>
    <row r="13" spans="2:7">
      <c r="B13" t="s">
        <v>14</v>
      </c>
      <c r="C13" s="3">
        <v>2750</v>
      </c>
      <c r="E13" t="s">
        <v>15</v>
      </c>
      <c r="F13" s="5">
        <v>0.53</v>
      </c>
      <c r="G13" s="3">
        <f t="shared" ref="G13:G18" si="0">F13*$F$6</f>
        <v>326374</v>
      </c>
    </row>
    <row r="14" spans="2:7">
      <c r="B14" t="s">
        <v>16</v>
      </c>
      <c r="C14" s="3">
        <v>4100</v>
      </c>
      <c r="E14" t="s">
        <v>17</v>
      </c>
      <c r="F14" s="5">
        <v>0.31</v>
      </c>
      <c r="G14" s="3">
        <f t="shared" si="0"/>
        <v>190898</v>
      </c>
    </row>
    <row r="15" spans="2:7">
      <c r="B15" t="s">
        <v>18</v>
      </c>
      <c r="C15" s="3">
        <v>8650</v>
      </c>
      <c r="E15" t="s">
        <v>19</v>
      </c>
      <c r="F15" s="5">
        <v>0.1</v>
      </c>
      <c r="G15" s="3">
        <f t="shared" si="0"/>
        <v>61580</v>
      </c>
    </row>
    <row r="16" spans="2:7">
      <c r="B16" t="s">
        <v>20</v>
      </c>
      <c r="C16" s="3">
        <v>16700</v>
      </c>
      <c r="E16" t="s">
        <v>21</v>
      </c>
      <c r="F16" s="6">
        <v>0.011</v>
      </c>
      <c r="G16" s="3">
        <f t="shared" si="0"/>
        <v>6773.8</v>
      </c>
    </row>
    <row r="17" spans="2:7">
      <c r="B17" t="s">
        <v>22</v>
      </c>
      <c r="C17" s="3">
        <v>9000</v>
      </c>
      <c r="E17" t="s">
        <v>23</v>
      </c>
      <c r="F17" s="6">
        <v>0.005</v>
      </c>
      <c r="G17" s="3">
        <f t="shared" si="0"/>
        <v>3079</v>
      </c>
    </row>
    <row r="18" spans="2:7">
      <c r="B18" t="s">
        <v>24</v>
      </c>
      <c r="C18" s="3">
        <v>35000</v>
      </c>
      <c r="E18" t="s">
        <v>25</v>
      </c>
      <c r="F18" s="6">
        <v>0.044</v>
      </c>
      <c r="G18" s="3">
        <f t="shared" si="0"/>
        <v>27095.2</v>
      </c>
    </row>
    <row r="19" spans="2:7">
      <c r="B19" t="s">
        <v>26</v>
      </c>
      <c r="C19" s="3">
        <v>5000</v>
      </c>
      <c r="E19" s="2" t="s">
        <v>11</v>
      </c>
      <c r="G19" s="3">
        <f>SUM(G13:G18)</f>
        <v>615800</v>
      </c>
    </row>
    <row r="20" spans="2:3">
      <c r="B20" t="s">
        <v>27</v>
      </c>
      <c r="C20" s="3">
        <v>3000</v>
      </c>
    </row>
    <row r="21" spans="2:3">
      <c r="B21" t="s">
        <v>28</v>
      </c>
      <c r="C21" s="3">
        <v>25000</v>
      </c>
    </row>
    <row r="22" spans="2:7">
      <c r="B22" t="s">
        <v>29</v>
      </c>
      <c r="C22" s="3">
        <v>25000</v>
      </c>
      <c r="G22" t="s">
        <v>30</v>
      </c>
    </row>
    <row r="23" spans="2:7">
      <c r="B23" s="2" t="s">
        <v>6</v>
      </c>
      <c r="C23" s="3">
        <f>SUM(C13:C22)</f>
        <v>134200</v>
      </c>
      <c r="G23" t="s">
        <v>30</v>
      </c>
    </row>
  </sheetData>
  <mergeCells count="3">
    <mergeCell ref="B2:D2"/>
    <mergeCell ref="B11:D11"/>
    <mergeCell ref="E11:G11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Budget &amp; Savings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Samip Kafle</cp:lastModifiedBy>
  <dcterms:created xsi:type="dcterms:W3CDTF">2025-09-17T22:59:00Z</dcterms:created>
  <dcterms:modified xsi:type="dcterms:W3CDTF">2025-09-18T23:42:24Z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295AA9DF3F014E19B0D937FEC746774B_13</vt:lpwstr>
  </property>
  <property fmtid="{D5CDD505-2E9C-101B-9397-08002B2CF9AE}" pid="3" name="KSOProductBuildVer">
    <vt:lpwstr>1033-12.2.0.22549</vt:lpwstr>
  </property>
</Properties>
</file>